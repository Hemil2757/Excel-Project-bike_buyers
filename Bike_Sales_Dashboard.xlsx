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Hemil\Downloads\"/>
    </mc:Choice>
  </mc:AlternateContent>
  <xr:revisionPtr revIDLastSave="0" documentId="13_ncr:1_{ED635F8B-5956-4F04-8BCD-09F57E7F0007}"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 sheetId="3" r:id="rId2"/>
    <sheet name="PIvot Table" sheetId="4" r:id="rId3"/>
    <sheet name="DAShborad" sheetId="2" r:id="rId4"/>
  </sheets>
  <definedNames>
    <definedName name="_xlnm._FilterDatabase" localSheetId="0" hidden="1">bike_buyers!$A$1:$M$1001</definedName>
    <definedName name="_xlnm._FilterDatabase" localSheetId="1" hidden="1">'Working sheet '!$A$1:$N$1027</definedName>
    <definedName name="Slicer_Education">#N/A</definedName>
    <definedName name="Slicer_Mari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3" l="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alcChain>
</file>

<file path=xl/sharedStrings.xml><?xml version="1.0" encoding="utf-8"?>
<sst xmlns="http://schemas.openxmlformats.org/spreadsheetml/2006/main" count="16482" uniqueCount="51">
  <si>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</si>
  <si>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</si>
  <si>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</si>
  <si>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</si>
  <si>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</si>
  <si>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</si>
  <si>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</si>
  <si>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</si>
  <si>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</si>
  <si>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</si>
  <si>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</si>
  <si>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</si>
  <si>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</si>
  <si>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</si>
  <si>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</si>
  <si>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</si>
  <si>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</si>
  <si>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</si>
  <si>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</si>
  <si>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</si>
  <si>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</si>
  <si>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</si>
  <si>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</si>
  <si>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</si>
  <si>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</si>
  <si>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</si>
  <si>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</si>
  <si>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</si>
  <si>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</si>
  <si>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</si>
  <si>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</si>
  <si>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</si>
  <si>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</si>
  <si>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</si>
  <si>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</si>
  <si>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</si>
  <si>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</si>
  <si>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</si>
  <si>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</si>
  <si>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</si>
  <si>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</si>
  <si>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</si>
  <si>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</si>
  <si>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</si>
  <si>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</si>
  <si>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</si>
  <si>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 xml:space="preserve">More then10 Miles </t>
  </si>
  <si>
    <t>Adolescent</t>
  </si>
  <si>
    <t>Middle Age</t>
  </si>
  <si>
    <t>Old</t>
  </si>
  <si>
    <r>
      <t xml:space="preserve"> </t>
    </r>
    <r>
      <rPr>
        <b/>
        <sz val="48"/>
        <color theme="0"/>
        <rFont val="Calibri"/>
        <family val="2"/>
        <scheme val="minor"/>
      </rPr>
      <t>Bike Sales Dashborad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</si>
</sst>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 #,##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0"/>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manualLayout>
          <c:xMode val="edge"/>
          <c:yMode val="edge"/>
          <c:x val="0.33677914727988545"/>
          <c:y val="4.0766962953160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24759405074369"/>
          <c:y val="0.17045753221941223"/>
          <c:w val="0.62364129483814523"/>
          <c:h val="0.43406921357052591"/>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76153.846153846156</c:v>
                </c:pt>
                <c:pt idx="1">
                  <c:v>82222.222222222219</c:v>
                </c:pt>
              </c:numCache>
            </c:numRef>
          </c:val>
          <c:extLst>
            <c:ext xmlns:c16="http://schemas.microsoft.com/office/drawing/2014/chart" uri="{C3380CC4-5D6E-409C-BE32-E72D297353CC}">
              <c16:uniqueId val="{00000000-DCFD-4C96-8098-D974B8195BF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70869.565217391311</c:v>
                </c:pt>
                <c:pt idx="1">
                  <c:v>73333.333333333328</c:v>
                </c:pt>
              </c:numCache>
            </c:numRef>
          </c:val>
          <c:extLst>
            <c:ext xmlns:c16="http://schemas.microsoft.com/office/drawing/2014/chart" uri="{C3380CC4-5D6E-409C-BE32-E72D297353CC}">
              <c16:uniqueId val="{00000001-DCFD-4C96-8098-D974B8195BF7}"/>
            </c:ext>
          </c:extLst>
        </c:ser>
        <c:dLbls>
          <c:showLegendKey val="0"/>
          <c:showVal val="0"/>
          <c:showCatName val="0"/>
          <c:showSerName val="0"/>
          <c:showPercent val="0"/>
          <c:showBubbleSize val="0"/>
        </c:dLbls>
        <c:gapWidth val="219"/>
        <c:overlap val="-27"/>
        <c:axId val="1541386784"/>
        <c:axId val="1857107120"/>
      </c:barChart>
      <c:catAx>
        <c:axId val="1541386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107120"/>
        <c:crosses val="autoZero"/>
        <c:auto val="1"/>
        <c:lblAlgn val="ctr"/>
        <c:lblOffset val="100"/>
        <c:noMultiLvlLbl val="0"/>
      </c:catAx>
      <c:valAx>
        <c:axId val="1857107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3867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then10 Miles </c:v>
                </c:pt>
              </c:strCache>
            </c:strRef>
          </c:cat>
          <c:val>
            <c:numRef>
              <c:f>'PIvot Table'!$B$23:$B$28</c:f>
              <c:numCache>
                <c:formatCode>General</c:formatCode>
                <c:ptCount val="5"/>
                <c:pt idx="0">
                  <c:v>8</c:v>
                </c:pt>
                <c:pt idx="1">
                  <c:v>3</c:v>
                </c:pt>
                <c:pt idx="2">
                  <c:v>5</c:v>
                </c:pt>
                <c:pt idx="3">
                  <c:v>1</c:v>
                </c:pt>
                <c:pt idx="4">
                  <c:v>5</c:v>
                </c:pt>
              </c:numCache>
            </c:numRef>
          </c:val>
          <c:smooth val="0"/>
          <c:extLst>
            <c:ext xmlns:c16="http://schemas.microsoft.com/office/drawing/2014/chart" uri="{C3380CC4-5D6E-409C-BE32-E72D297353CC}">
              <c16:uniqueId val="{00000000-4002-4CE8-94B2-0F78DC036C46}"/>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then10 Miles </c:v>
                </c:pt>
              </c:strCache>
            </c:strRef>
          </c:cat>
          <c:val>
            <c:numRef>
              <c:f>'PIvot Table'!$C$23:$C$28</c:f>
              <c:numCache>
                <c:formatCode>General</c:formatCode>
                <c:ptCount val="5"/>
                <c:pt idx="0">
                  <c:v>15</c:v>
                </c:pt>
                <c:pt idx="1">
                  <c:v>4</c:v>
                </c:pt>
                <c:pt idx="2">
                  <c:v>22</c:v>
                </c:pt>
                <c:pt idx="3">
                  <c:v>2</c:v>
                </c:pt>
                <c:pt idx="4">
                  <c:v>4</c:v>
                </c:pt>
              </c:numCache>
            </c:numRef>
          </c:val>
          <c:smooth val="0"/>
          <c:extLst>
            <c:ext xmlns:c16="http://schemas.microsoft.com/office/drawing/2014/chart" uri="{C3380CC4-5D6E-409C-BE32-E72D297353CC}">
              <c16:uniqueId val="{00000001-4002-4CE8-94B2-0F78DC036C46}"/>
            </c:ext>
          </c:extLst>
        </c:ser>
        <c:dLbls>
          <c:showLegendKey val="0"/>
          <c:showVal val="0"/>
          <c:showCatName val="0"/>
          <c:showSerName val="0"/>
          <c:showPercent val="0"/>
          <c:showBubbleSize val="0"/>
        </c:dLbls>
        <c:smooth val="0"/>
        <c:axId val="2019816144"/>
        <c:axId val="1857126320"/>
      </c:lineChart>
      <c:catAx>
        <c:axId val="2019816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126320"/>
        <c:crosses val="autoZero"/>
        <c:auto val="1"/>
        <c:lblAlgn val="ctr"/>
        <c:lblOffset val="100"/>
        <c:noMultiLvlLbl val="0"/>
      </c:catAx>
      <c:valAx>
        <c:axId val="1857126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1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manualLayout>
          <c:xMode val="edge"/>
          <c:yMode val="edge"/>
          <c:x val="0.40671522309711289"/>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1</c:v>
                </c:pt>
                <c:pt idx="1">
                  <c:v>15</c:v>
                </c:pt>
                <c:pt idx="2">
                  <c:v>6</c:v>
                </c:pt>
              </c:numCache>
            </c:numRef>
          </c:val>
          <c:smooth val="0"/>
          <c:extLst>
            <c:ext xmlns:c16="http://schemas.microsoft.com/office/drawing/2014/chart" uri="{C3380CC4-5D6E-409C-BE32-E72D297353CC}">
              <c16:uniqueId val="{00000000-B200-4898-ACB8-A84B43C32654}"/>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1">
                  <c:v>39</c:v>
                </c:pt>
                <c:pt idx="2">
                  <c:v>8</c:v>
                </c:pt>
              </c:numCache>
            </c:numRef>
          </c:val>
          <c:smooth val="0"/>
          <c:extLst>
            <c:ext xmlns:c16="http://schemas.microsoft.com/office/drawing/2014/chart" uri="{C3380CC4-5D6E-409C-BE32-E72D297353CC}">
              <c16:uniqueId val="{00000001-B200-4898-ACB8-A84B43C32654}"/>
            </c:ext>
          </c:extLst>
        </c:ser>
        <c:dLbls>
          <c:showLegendKey val="0"/>
          <c:showVal val="0"/>
          <c:showCatName val="0"/>
          <c:showSerName val="0"/>
          <c:showPercent val="0"/>
          <c:showBubbleSize val="0"/>
        </c:dLbls>
        <c:marker val="1"/>
        <c:smooth val="0"/>
        <c:axId val="2024684064"/>
        <c:axId val="2029521360"/>
      </c:lineChart>
      <c:catAx>
        <c:axId val="2024684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521360"/>
        <c:crosses val="autoZero"/>
        <c:auto val="1"/>
        <c:lblAlgn val="ctr"/>
        <c:lblOffset val="100"/>
        <c:noMultiLvlLbl val="0"/>
      </c:catAx>
      <c:valAx>
        <c:axId val="202952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68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Avg Income Per Purchase</a:t>
            </a:r>
          </a:p>
        </c:rich>
      </c:tx>
      <c:layout>
        <c:manualLayout>
          <c:xMode val="edge"/>
          <c:yMode val="edge"/>
          <c:x val="0.33677914727988545"/>
          <c:y val="4.07669629531602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24759405074369"/>
          <c:y val="0.17045753221941223"/>
          <c:w val="0.62364129483814523"/>
          <c:h val="0.43406921357052591"/>
        </c:manualLayout>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Table'!$A$5:$A$7</c:f>
              <c:strCache>
                <c:ptCount val="2"/>
                <c:pt idx="0">
                  <c:v>Female</c:v>
                </c:pt>
                <c:pt idx="1">
                  <c:v>Male</c:v>
                </c:pt>
              </c:strCache>
            </c:strRef>
          </c:cat>
          <c:val>
            <c:numRef>
              <c:f>'PIvot Table'!$B$5:$B$7</c:f>
              <c:numCache>
                <c:formatCode>"₹"\ #,##0</c:formatCode>
                <c:ptCount val="2"/>
                <c:pt idx="0">
                  <c:v>76153.846153846156</c:v>
                </c:pt>
                <c:pt idx="1">
                  <c:v>82222.222222222219</c:v>
                </c:pt>
              </c:numCache>
            </c:numRef>
          </c:val>
          <c:extLst>
            <c:ext xmlns:c16="http://schemas.microsoft.com/office/drawing/2014/chart" uri="{C3380CC4-5D6E-409C-BE32-E72D297353CC}">
              <c16:uniqueId val="{00000000-32B9-4C02-B9DB-8555419E6261}"/>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Table'!$A$5:$A$7</c:f>
              <c:strCache>
                <c:ptCount val="2"/>
                <c:pt idx="0">
                  <c:v>Female</c:v>
                </c:pt>
                <c:pt idx="1">
                  <c:v>Male</c:v>
                </c:pt>
              </c:strCache>
            </c:strRef>
          </c:cat>
          <c:val>
            <c:numRef>
              <c:f>'PIvot Table'!$C$5:$C$7</c:f>
              <c:numCache>
                <c:formatCode>"₹"\ #,##0</c:formatCode>
                <c:ptCount val="2"/>
                <c:pt idx="0">
                  <c:v>70869.565217391311</c:v>
                </c:pt>
                <c:pt idx="1">
                  <c:v>73333.333333333328</c:v>
                </c:pt>
              </c:numCache>
            </c:numRef>
          </c:val>
          <c:extLst>
            <c:ext xmlns:c16="http://schemas.microsoft.com/office/drawing/2014/chart" uri="{C3380CC4-5D6E-409C-BE32-E72D297353CC}">
              <c16:uniqueId val="{00000001-32B9-4C02-B9DB-8555419E6261}"/>
            </c:ext>
          </c:extLst>
        </c:ser>
        <c:dLbls>
          <c:dLblPos val="inEnd"/>
          <c:showLegendKey val="0"/>
          <c:showVal val="1"/>
          <c:showCatName val="0"/>
          <c:showSerName val="0"/>
          <c:showPercent val="0"/>
          <c:showBubbleSize val="0"/>
        </c:dLbls>
        <c:gapWidth val="100"/>
        <c:overlap val="-24"/>
        <c:axId val="1541386784"/>
        <c:axId val="1857107120"/>
      </c:barChart>
      <c:catAx>
        <c:axId val="154138678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7107120"/>
        <c:crosses val="autoZero"/>
        <c:auto val="1"/>
        <c:lblAlgn val="ctr"/>
        <c:lblOffset val="100"/>
        <c:noMultiLvlLbl val="0"/>
      </c:catAx>
      <c:valAx>
        <c:axId val="185710712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138678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Table'!$A$23:$A$28</c:f>
              <c:strCache>
                <c:ptCount val="5"/>
                <c:pt idx="0">
                  <c:v>0-1 Miles</c:v>
                </c:pt>
                <c:pt idx="1">
                  <c:v>1-2 Miles</c:v>
                </c:pt>
                <c:pt idx="2">
                  <c:v>2-5 Miles</c:v>
                </c:pt>
                <c:pt idx="3">
                  <c:v>5-10 Miles</c:v>
                </c:pt>
                <c:pt idx="4">
                  <c:v>More then10 Miles </c:v>
                </c:pt>
              </c:strCache>
            </c:strRef>
          </c:cat>
          <c:val>
            <c:numRef>
              <c:f>'PIvot Table'!$B$23:$B$28</c:f>
              <c:numCache>
                <c:formatCode>General</c:formatCode>
                <c:ptCount val="5"/>
                <c:pt idx="0">
                  <c:v>8</c:v>
                </c:pt>
                <c:pt idx="1">
                  <c:v>3</c:v>
                </c:pt>
                <c:pt idx="2">
                  <c:v>5</c:v>
                </c:pt>
                <c:pt idx="3">
                  <c:v>1</c:v>
                </c:pt>
                <c:pt idx="4">
                  <c:v>5</c:v>
                </c:pt>
              </c:numCache>
            </c:numRef>
          </c:val>
          <c:smooth val="0"/>
          <c:extLst>
            <c:ext xmlns:c16="http://schemas.microsoft.com/office/drawing/2014/chart" uri="{C3380CC4-5D6E-409C-BE32-E72D297353CC}">
              <c16:uniqueId val="{00000000-777B-4A87-AF39-36EB0784A9AD}"/>
            </c:ext>
          </c:extLst>
        </c:ser>
        <c:ser>
          <c:idx val="1"/>
          <c:order val="1"/>
          <c:tx>
            <c:strRef>
              <c:f>'PIvot Table'!$C$21:$C$22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Table'!$A$23:$A$28</c:f>
              <c:strCache>
                <c:ptCount val="5"/>
                <c:pt idx="0">
                  <c:v>0-1 Miles</c:v>
                </c:pt>
                <c:pt idx="1">
                  <c:v>1-2 Miles</c:v>
                </c:pt>
                <c:pt idx="2">
                  <c:v>2-5 Miles</c:v>
                </c:pt>
                <c:pt idx="3">
                  <c:v>5-10 Miles</c:v>
                </c:pt>
                <c:pt idx="4">
                  <c:v>More then10 Miles </c:v>
                </c:pt>
              </c:strCache>
            </c:strRef>
          </c:cat>
          <c:val>
            <c:numRef>
              <c:f>'PIvot Table'!$C$23:$C$28</c:f>
              <c:numCache>
                <c:formatCode>General</c:formatCode>
                <c:ptCount val="5"/>
                <c:pt idx="0">
                  <c:v>15</c:v>
                </c:pt>
                <c:pt idx="1">
                  <c:v>4</c:v>
                </c:pt>
                <c:pt idx="2">
                  <c:v>22</c:v>
                </c:pt>
                <c:pt idx="3">
                  <c:v>2</c:v>
                </c:pt>
                <c:pt idx="4">
                  <c:v>4</c:v>
                </c:pt>
              </c:numCache>
            </c:numRef>
          </c:val>
          <c:smooth val="0"/>
          <c:extLst>
            <c:ext xmlns:c16="http://schemas.microsoft.com/office/drawing/2014/chart" uri="{C3380CC4-5D6E-409C-BE32-E72D297353CC}">
              <c16:uniqueId val="{00000001-777B-4A87-AF39-36EB0784A9AD}"/>
            </c:ext>
          </c:extLst>
        </c:ser>
        <c:dLbls>
          <c:showLegendKey val="0"/>
          <c:showVal val="0"/>
          <c:showCatName val="0"/>
          <c:showSerName val="0"/>
          <c:showPercent val="0"/>
          <c:showBubbleSize val="0"/>
        </c:dLbls>
        <c:marker val="1"/>
        <c:smooth val="0"/>
        <c:axId val="2019816144"/>
        <c:axId val="1857126320"/>
      </c:lineChart>
      <c:catAx>
        <c:axId val="20198161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7126320"/>
        <c:crosses val="autoZero"/>
        <c:auto val="1"/>
        <c:lblAlgn val="ctr"/>
        <c:lblOffset val="100"/>
        <c:noMultiLvlLbl val="0"/>
      </c:catAx>
      <c:valAx>
        <c:axId val="18571263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981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 Age Brackets</a:t>
            </a:r>
          </a:p>
        </c:rich>
      </c:tx>
      <c:layout>
        <c:manualLayout>
          <c:xMode val="edge"/>
          <c:yMode val="edge"/>
          <c:x val="0.40671522309711289"/>
          <c:y val="0.11472003499562555"/>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1</c:v>
                </c:pt>
                <c:pt idx="1">
                  <c:v>15</c:v>
                </c:pt>
                <c:pt idx="2">
                  <c:v>6</c:v>
                </c:pt>
              </c:numCache>
            </c:numRef>
          </c:val>
          <c:smooth val="0"/>
          <c:extLst>
            <c:ext xmlns:c16="http://schemas.microsoft.com/office/drawing/2014/chart" uri="{C3380CC4-5D6E-409C-BE32-E72D297353CC}">
              <c16:uniqueId val="{00000000-D0F7-4968-94AF-BC3A7FF92937}"/>
            </c:ext>
          </c:extLst>
        </c:ser>
        <c:ser>
          <c:idx val="1"/>
          <c:order val="1"/>
          <c:tx>
            <c:strRef>
              <c:f>'PIvot Table'!$C$41:$C$42</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1">
                  <c:v>39</c:v>
                </c:pt>
                <c:pt idx="2">
                  <c:v>8</c:v>
                </c:pt>
              </c:numCache>
            </c:numRef>
          </c:val>
          <c:smooth val="0"/>
          <c:extLst>
            <c:ext xmlns:c16="http://schemas.microsoft.com/office/drawing/2014/chart" uri="{C3380CC4-5D6E-409C-BE32-E72D297353CC}">
              <c16:uniqueId val="{00000001-D0F7-4968-94AF-BC3A7FF92937}"/>
            </c:ext>
          </c:extLst>
        </c:ser>
        <c:dLbls>
          <c:showLegendKey val="0"/>
          <c:showVal val="0"/>
          <c:showCatName val="0"/>
          <c:showSerName val="0"/>
          <c:showPercent val="0"/>
          <c:showBubbleSize val="0"/>
        </c:dLbls>
        <c:marker val="1"/>
        <c:smooth val="0"/>
        <c:axId val="2024684064"/>
        <c:axId val="2029521360"/>
      </c:lineChart>
      <c:catAx>
        <c:axId val="20246840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9521360"/>
        <c:crosses val="autoZero"/>
        <c:auto val="1"/>
        <c:lblAlgn val="ctr"/>
        <c:lblOffset val="100"/>
        <c:noMultiLvlLbl val="0"/>
      </c:catAx>
      <c:valAx>
        <c:axId val="20295213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468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601980</xdr:colOff>
      <xdr:row>0</xdr:row>
      <xdr:rowOff>0</xdr:rowOff>
    </xdr:from>
    <xdr:to>
      <xdr:col>13</xdr:col>
      <xdr:colOff>137160</xdr:colOff>
      <xdr:row>14</xdr:row>
      <xdr:rowOff>129540</xdr:rowOff>
    </xdr:to>
    <xdr:graphicFrame macro="">
      <xdr:nvGraphicFramePr>
        <xdr:cNvPr id="2" name="Chart 1">
          <a:extLst>
            <a:ext uri="{FF2B5EF4-FFF2-40B4-BE49-F238E27FC236}">
              <a16:creationId xmlns:a16="http://schemas.microsoft.com/office/drawing/2014/main" id="{A1D97951-DE26-1417-A1A7-8DF9E165D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17</xdr:row>
      <xdr:rowOff>179070</xdr:rowOff>
    </xdr:from>
    <xdr:to>
      <xdr:col>12</xdr:col>
      <xdr:colOff>304800</xdr:colOff>
      <xdr:row>32</xdr:row>
      <xdr:rowOff>179070</xdr:rowOff>
    </xdr:to>
    <xdr:graphicFrame macro="">
      <xdr:nvGraphicFramePr>
        <xdr:cNvPr id="3" name="Chart 2">
          <a:extLst>
            <a:ext uri="{FF2B5EF4-FFF2-40B4-BE49-F238E27FC236}">
              <a16:creationId xmlns:a16="http://schemas.microsoft.com/office/drawing/2014/main" id="{591375A1-97BF-E02C-211A-38253D1202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731520</xdr:colOff>
      <xdr:row>38</xdr:row>
      <xdr:rowOff>3810</xdr:rowOff>
    </xdr:from>
    <xdr:to>
      <xdr:col>12</xdr:col>
      <xdr:colOff>297180</xdr:colOff>
      <xdr:row>53</xdr:row>
      <xdr:rowOff>3810</xdr:rowOff>
    </xdr:to>
    <xdr:graphicFrame macro="">
      <xdr:nvGraphicFramePr>
        <xdr:cNvPr id="4" name="Chart 3">
          <a:extLst>
            <a:ext uri="{FF2B5EF4-FFF2-40B4-BE49-F238E27FC236}">
              <a16:creationId xmlns:a16="http://schemas.microsoft.com/office/drawing/2014/main" id="{130C4AC6-9C34-CD63-27B8-8935C2A435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455708</xdr:colOff>
      <xdr:row>4</xdr:row>
      <xdr:rowOff>174065</xdr:rowOff>
    </xdr:from>
    <xdr:to>
      <xdr:col>10</xdr:col>
      <xdr:colOff>106699</xdr:colOff>
      <xdr:row>19</xdr:row>
      <xdr:rowOff>11206</xdr:rowOff>
    </xdr:to>
    <xdr:graphicFrame macro="">
      <xdr:nvGraphicFramePr>
        <xdr:cNvPr id="2" name="Chart 1">
          <a:extLst>
            <a:ext uri="{FF2B5EF4-FFF2-40B4-BE49-F238E27FC236}">
              <a16:creationId xmlns:a16="http://schemas.microsoft.com/office/drawing/2014/main" id="{A05C3BD8-5335-4DE5-89E3-FCA55EBA4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455707</xdr:colOff>
      <xdr:row>19</xdr:row>
      <xdr:rowOff>42234</xdr:rowOff>
    </xdr:from>
    <xdr:to>
      <xdr:col>15</xdr:col>
      <xdr:colOff>85724</xdr:colOff>
      <xdr:row>34</xdr:row>
      <xdr:rowOff>42234</xdr:rowOff>
    </xdr:to>
    <xdr:graphicFrame macro="">
      <xdr:nvGraphicFramePr>
        <xdr:cNvPr id="3" name="Chart 2">
          <a:extLst>
            <a:ext uri="{FF2B5EF4-FFF2-40B4-BE49-F238E27FC236}">
              <a16:creationId xmlns:a16="http://schemas.microsoft.com/office/drawing/2014/main" id="{45DD5082-9A85-48F3-95C8-3E9C9B7EC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143436</xdr:colOff>
      <xdr:row>4</xdr:row>
      <xdr:rowOff>174065</xdr:rowOff>
    </xdr:from>
    <xdr:to>
      <xdr:col>15</xdr:col>
      <xdr:colOff>67236</xdr:colOff>
      <xdr:row>19</xdr:row>
      <xdr:rowOff>560</xdr:rowOff>
    </xdr:to>
    <xdr:graphicFrame macro="">
      <xdr:nvGraphicFramePr>
        <xdr:cNvPr id="4" name="Chart 3">
          <a:extLst>
            <a:ext uri="{FF2B5EF4-FFF2-40B4-BE49-F238E27FC236}">
              <a16:creationId xmlns:a16="http://schemas.microsoft.com/office/drawing/2014/main" id="{B29AB6BB-FA5D-41CC-8E4E-EE62554AD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163831</xdr:rowOff>
    </xdr:from>
    <xdr:to>
      <xdr:col>2</xdr:col>
      <xdr:colOff>438150</xdr:colOff>
      <xdr:row>10</xdr:row>
      <xdr:rowOff>152401</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54734EA4-42D6-D281-5321-E1F2B9A8DD6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887731"/>
              <a:ext cx="1657350" cy="1074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91441</xdr:rowOff>
    </xdr:from>
    <xdr:to>
      <xdr:col>2</xdr:col>
      <xdr:colOff>457200</xdr:colOff>
      <xdr:row>28</xdr:row>
      <xdr:rowOff>57151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7877BAE0-7622-E48F-82A5-6CCB8EBFFD4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48991"/>
              <a:ext cx="1676400" cy="177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142875</xdr:rowOff>
    </xdr:from>
    <xdr:to>
      <xdr:col>2</xdr:col>
      <xdr:colOff>438150</xdr:colOff>
      <xdr:row>18</xdr:row>
      <xdr:rowOff>76200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BC590DED-F05C-3950-A395-39DACFA65BA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52625"/>
              <a:ext cx="1657350" cy="1381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il" refreshedDate="46259.036502430557" createdVersion="8" refreshedVersion="8" minRefreshableVersion="3" recordCount="1026" xr:uid="{03D81135-5776-4D91-82E1-4C32897CBBF0}">
  <cacheSource type="worksheet">
    <worksheetSource ref="A1:N1027" sheet="Working sheet "/>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en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89869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19B7DF-9EF4-433F-994F-737E45DCD369}"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0:D115" firstHeaderRow="1" firstDataRow="2" firstDataCol="1"/>
  <pivotFields count="14">
    <pivotField showAll="0"/>
    <pivotField showAll="0"/>
    <pivotField showAll="0"/>
    <pivotField numFmtId="167"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D897F6-854D-4BF5-8B1E-528180965911}"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1:D46" firstHeaderRow="1" firstDataRow="2" firstDataCol="1"/>
  <pivotFields count="14">
    <pivotField showAll="0"/>
    <pivotField showAll="0">
      <items count="3">
        <item h="1" x="0"/>
        <item x="1"/>
        <item t="default"/>
      </items>
    </pivotField>
    <pivotField showAll="0"/>
    <pivotField numFmtId="167"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4BA8A5-D32A-4F7B-A43A-40DD12D2906D}"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1:D28" firstHeaderRow="1" firstDataRow="2" firstDataCol="1"/>
  <pivotFields count="14">
    <pivotField showAll="0"/>
    <pivotField showAll="0">
      <items count="3">
        <item h="1" x="0"/>
        <item x="1"/>
        <item t="default"/>
      </items>
    </pivotField>
    <pivotField showAll="0"/>
    <pivotField numFmtId="167" showAll="0"/>
    <pivotField showAll="0"/>
    <pivotField showAll="0">
      <items count="6">
        <item x="0"/>
        <item h="1" x="4"/>
        <item h="1"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5D97F5-2FFA-4718-BEC0-DA083411B2AB}"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7"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60ED89C-0421-4B3D-AF39-12B809E5E02D}" sourceName="Marital Status">
  <pivotTables>
    <pivotTable tabId="4" name="PivotTable3"/>
    <pivotTable tabId="4" name="PivotTable1"/>
    <pivotTable tabId="4" name="PivotTable2"/>
  </pivotTables>
  <data>
    <tabular pivotCacheId="1789869793">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1EB8A1E-3D65-4603-89D0-B29BB0D7C018}" sourceName="Education">
  <pivotTables>
    <pivotTable tabId="4" name="PivotTable2"/>
    <pivotTable tabId="4" name="PivotTable1"/>
    <pivotTable tabId="4" name="PivotTable3"/>
  </pivotTables>
  <data>
    <tabular pivotCacheId="1789869793">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892706-4705-4563-A84B-693C8CEEA52A}" sourceName="Region">
  <pivotTables>
    <pivotTable tabId="4" name="PivotTable2"/>
    <pivotTable tabId="4" name="PivotTable1"/>
    <pivotTable tabId="4" name="PivotTable3"/>
  </pivotTables>
  <data>
    <tabular pivotCacheId="1789869793">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7E5214E-A219-4618-9FB2-C98295172BEA}" cache="Slicer_Marital_Status" caption="Marital Status" rowHeight="234950"/>
  <slicer name="Education" xr10:uid="{491CB240-55F0-47E1-B9D5-25C43A6E2711}" cache="Slicer_Education" caption="Education" rowHeight="234950"/>
  <slicer name="Region" xr10:uid="{6F18CE5C-90F4-4D68-B599-01C66782CC7F}"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FCBEC-56A3-4BE7-B5B5-B76514FF890F}">
  <dimension ref="A1:N1027"/>
  <sheetViews>
    <sheetView topLeftCell="B4" workbookViewId="0">
      <selection activeCell="M8" sqref="M8"/>
    </sheetView>
  </sheetViews>
  <sheetFormatPr defaultColWidth="11.88671875" defaultRowHeight="14.4" x14ac:dyDescent="0.3"/>
  <cols>
    <col min="1" max="1" width="17.6640625" customWidth="1"/>
    <col min="2" max="2" width="17.44140625" customWidth="1"/>
    <col min="4" max="4" width="11.88671875" style="3"/>
    <col min="6" max="6" width="19.77734375" customWidth="1"/>
    <col min="7" max="7" width="17.88671875" customWidth="1"/>
    <col min="8" max="8" width="16.21875" customWidth="1"/>
    <col min="12" max="12" width="16.44140625" customWidth="1"/>
    <col min="13" max="13" width="15.55468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26"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row r="1002" spans="1:14" x14ac:dyDescent="0.3">
      <c r="A1002">
        <v>13507</v>
      </c>
      <c r="B1002" t="s">
        <v>36</v>
      </c>
      <c r="C1002" t="s">
        <v>38</v>
      </c>
      <c r="D1002" s="3">
        <v>10000</v>
      </c>
      <c r="E1002">
        <v>2</v>
      </c>
      <c r="F1002" t="s">
        <v>19</v>
      </c>
      <c r="G1002" t="s">
        <v>25</v>
      </c>
      <c r="H1002" t="s">
        <v>15</v>
      </c>
      <c r="I1002">
        <v>0</v>
      </c>
      <c r="J1002" t="s">
        <v>26</v>
      </c>
      <c r="K1002" t="s">
        <v>17</v>
      </c>
      <c r="L1002">
        <v>50</v>
      </c>
      <c r="M1002" t="str">
        <f t="shared" si="15"/>
        <v>Middle Age</v>
      </c>
      <c r="N1002" t="s">
        <v>18</v>
      </c>
    </row>
    <row r="1003" spans="1:14" x14ac:dyDescent="0.3">
      <c r="A1003">
        <v>19280</v>
      </c>
      <c r="B1003" t="s">
        <v>36</v>
      </c>
      <c r="C1003" t="s">
        <v>39</v>
      </c>
      <c r="D1003" s="3">
        <v>120000</v>
      </c>
      <c r="E1003">
        <v>2</v>
      </c>
      <c r="F1003" t="s">
        <v>19</v>
      </c>
      <c r="G1003" t="s">
        <v>25</v>
      </c>
      <c r="H1003" t="s">
        <v>15</v>
      </c>
      <c r="I1003">
        <v>1</v>
      </c>
      <c r="J1003" t="s">
        <v>16</v>
      </c>
      <c r="K1003" t="s">
        <v>17</v>
      </c>
      <c r="L1003">
        <v>40</v>
      </c>
      <c r="M1003" t="str">
        <f t="shared" si="15"/>
        <v>Middle Age</v>
      </c>
      <c r="N1003" t="s">
        <v>15</v>
      </c>
    </row>
    <row r="1004" spans="1:14" x14ac:dyDescent="0.3">
      <c r="A1004">
        <v>22173</v>
      </c>
      <c r="B1004" t="s">
        <v>36</v>
      </c>
      <c r="C1004" t="s">
        <v>38</v>
      </c>
      <c r="D1004" s="3">
        <v>30000</v>
      </c>
      <c r="E1004">
        <v>3</v>
      </c>
      <c r="F1004" t="s">
        <v>27</v>
      </c>
      <c r="G1004" t="s">
        <v>14</v>
      </c>
      <c r="H1004" t="s">
        <v>18</v>
      </c>
      <c r="I1004">
        <v>2</v>
      </c>
      <c r="J1004" t="s">
        <v>26</v>
      </c>
      <c r="K1004" t="s">
        <v>24</v>
      </c>
      <c r="L1004">
        <v>54</v>
      </c>
      <c r="M1004" t="str">
        <f t="shared" si="15"/>
        <v>Middle Age</v>
      </c>
      <c r="N1004" t="s">
        <v>15</v>
      </c>
    </row>
    <row r="1005" spans="1:14" x14ac:dyDescent="0.3">
      <c r="A1005">
        <v>12697</v>
      </c>
      <c r="B1005" t="s">
        <v>37</v>
      </c>
      <c r="C1005" t="s">
        <v>38</v>
      </c>
      <c r="D1005" s="3">
        <v>90000</v>
      </c>
      <c r="E1005">
        <v>0</v>
      </c>
      <c r="F1005" t="s">
        <v>13</v>
      </c>
      <c r="G1005" t="s">
        <v>21</v>
      </c>
      <c r="H1005" t="s">
        <v>18</v>
      </c>
      <c r="I1005">
        <v>4</v>
      </c>
      <c r="J1005" t="s">
        <v>46</v>
      </c>
      <c r="K1005" t="s">
        <v>24</v>
      </c>
      <c r="L1005">
        <v>36</v>
      </c>
      <c r="M1005" t="str">
        <f t="shared" si="15"/>
        <v>Middle Age</v>
      </c>
      <c r="N1005" t="s">
        <v>18</v>
      </c>
    </row>
    <row r="1006" spans="1:14" x14ac:dyDescent="0.3">
      <c r="A1006">
        <v>11434</v>
      </c>
      <c r="B1006" t="s">
        <v>36</v>
      </c>
      <c r="C1006" t="s">
        <v>39</v>
      </c>
      <c r="D1006" s="3">
        <v>170000</v>
      </c>
      <c r="E1006">
        <v>5</v>
      </c>
      <c r="F1006" t="s">
        <v>19</v>
      </c>
      <c r="G1006" t="s">
        <v>21</v>
      </c>
      <c r="H1006" t="s">
        <v>15</v>
      </c>
      <c r="I1006">
        <v>0</v>
      </c>
      <c r="J1006" t="s">
        <v>16</v>
      </c>
      <c r="K1006" t="s">
        <v>17</v>
      </c>
      <c r="L1006">
        <v>55</v>
      </c>
      <c r="M1006" t="str">
        <f t="shared" si="15"/>
        <v>Old</v>
      </c>
      <c r="N1006" t="s">
        <v>18</v>
      </c>
    </row>
    <row r="1007" spans="1:14" x14ac:dyDescent="0.3">
      <c r="A1007">
        <v>25323</v>
      </c>
      <c r="B1007" t="s">
        <v>36</v>
      </c>
      <c r="C1007" t="s">
        <v>39</v>
      </c>
      <c r="D1007" s="3">
        <v>40000</v>
      </c>
      <c r="E1007">
        <v>2</v>
      </c>
      <c r="F1007" t="s">
        <v>19</v>
      </c>
      <c r="G1007" t="s">
        <v>20</v>
      </c>
      <c r="H1007" t="s">
        <v>15</v>
      </c>
      <c r="I1007">
        <v>1</v>
      </c>
      <c r="J1007" t="s">
        <v>26</v>
      </c>
      <c r="K1007" t="s">
        <v>17</v>
      </c>
      <c r="L1007">
        <v>35</v>
      </c>
      <c r="M1007" t="str">
        <f t="shared" si="15"/>
        <v>Middle Age</v>
      </c>
      <c r="N1007" t="s">
        <v>15</v>
      </c>
    </row>
    <row r="1008" spans="1:14" x14ac:dyDescent="0.3">
      <c r="A1008">
        <v>23542</v>
      </c>
      <c r="B1008" t="s">
        <v>37</v>
      </c>
      <c r="C1008" t="s">
        <v>39</v>
      </c>
      <c r="D1008" s="3">
        <v>60000</v>
      </c>
      <c r="E1008">
        <v>1</v>
      </c>
      <c r="F1008" t="s">
        <v>19</v>
      </c>
      <c r="G1008" t="s">
        <v>14</v>
      </c>
      <c r="H1008" t="s">
        <v>18</v>
      </c>
      <c r="I1008">
        <v>1</v>
      </c>
      <c r="J1008" t="s">
        <v>16</v>
      </c>
      <c r="K1008" t="s">
        <v>24</v>
      </c>
      <c r="L1008">
        <v>45</v>
      </c>
      <c r="M1008" t="str">
        <f t="shared" si="15"/>
        <v>Middle Age</v>
      </c>
      <c r="N1008" t="s">
        <v>15</v>
      </c>
    </row>
    <row r="1009" spans="1:14" x14ac:dyDescent="0.3">
      <c r="A1009">
        <v>20870</v>
      </c>
      <c r="B1009" t="s">
        <v>37</v>
      </c>
      <c r="C1009" t="s">
        <v>38</v>
      </c>
      <c r="D1009" s="3">
        <v>10000</v>
      </c>
      <c r="E1009">
        <v>2</v>
      </c>
      <c r="F1009" t="s">
        <v>27</v>
      </c>
      <c r="G1009" t="s">
        <v>25</v>
      </c>
      <c r="H1009" t="s">
        <v>15</v>
      </c>
      <c r="I1009">
        <v>1</v>
      </c>
      <c r="J1009" t="s">
        <v>16</v>
      </c>
      <c r="K1009" t="s">
        <v>17</v>
      </c>
      <c r="L1009">
        <v>38</v>
      </c>
      <c r="M1009" t="str">
        <f t="shared" si="15"/>
        <v>Middle Age</v>
      </c>
      <c r="N1009" t="s">
        <v>15</v>
      </c>
    </row>
    <row r="1010" spans="1:14" x14ac:dyDescent="0.3">
      <c r="A1010">
        <v>23316</v>
      </c>
      <c r="B1010" t="s">
        <v>37</v>
      </c>
      <c r="C1010" t="s">
        <v>39</v>
      </c>
      <c r="D1010" s="3">
        <v>30000</v>
      </c>
      <c r="E1010">
        <v>3</v>
      </c>
      <c r="F1010" t="s">
        <v>19</v>
      </c>
      <c r="G1010" t="s">
        <v>20</v>
      </c>
      <c r="H1010" t="s">
        <v>18</v>
      </c>
      <c r="I1010">
        <v>2</v>
      </c>
      <c r="J1010" t="s">
        <v>26</v>
      </c>
      <c r="K1010" t="s">
        <v>24</v>
      </c>
      <c r="L1010">
        <v>59</v>
      </c>
      <c r="M1010" t="str">
        <f t="shared" si="15"/>
        <v>Old</v>
      </c>
      <c r="N1010" t="s">
        <v>15</v>
      </c>
    </row>
    <row r="1011" spans="1:14" x14ac:dyDescent="0.3">
      <c r="A1011">
        <v>12610</v>
      </c>
      <c r="B1011" t="s">
        <v>36</v>
      </c>
      <c r="C1011" t="s">
        <v>38</v>
      </c>
      <c r="D1011" s="3">
        <v>30000</v>
      </c>
      <c r="E1011">
        <v>1</v>
      </c>
      <c r="F1011" t="s">
        <v>13</v>
      </c>
      <c r="G1011" t="s">
        <v>20</v>
      </c>
      <c r="H1011" t="s">
        <v>15</v>
      </c>
      <c r="I1011">
        <v>0</v>
      </c>
      <c r="J1011" t="s">
        <v>16</v>
      </c>
      <c r="K1011" t="s">
        <v>17</v>
      </c>
      <c r="L1011">
        <v>47</v>
      </c>
      <c r="M1011" t="str">
        <f t="shared" si="15"/>
        <v>Middle Age</v>
      </c>
      <c r="N1011" t="s">
        <v>18</v>
      </c>
    </row>
    <row r="1012" spans="1:14" x14ac:dyDescent="0.3">
      <c r="A1012">
        <v>27183</v>
      </c>
      <c r="B1012" t="s">
        <v>37</v>
      </c>
      <c r="C1012" t="s">
        <v>39</v>
      </c>
      <c r="D1012" s="3">
        <v>40000</v>
      </c>
      <c r="E1012">
        <v>2</v>
      </c>
      <c r="F1012" t="s">
        <v>19</v>
      </c>
      <c r="G1012" t="s">
        <v>20</v>
      </c>
      <c r="H1012" t="s">
        <v>15</v>
      </c>
      <c r="I1012">
        <v>1</v>
      </c>
      <c r="J1012" t="s">
        <v>26</v>
      </c>
      <c r="K1012" t="s">
        <v>17</v>
      </c>
      <c r="L1012">
        <v>35</v>
      </c>
      <c r="M1012" t="str">
        <f t="shared" si="15"/>
        <v>Middle Age</v>
      </c>
      <c r="N1012" t="s">
        <v>15</v>
      </c>
    </row>
    <row r="1013" spans="1:14" x14ac:dyDescent="0.3">
      <c r="A1013">
        <v>25940</v>
      </c>
      <c r="B1013" t="s">
        <v>37</v>
      </c>
      <c r="C1013" t="s">
        <v>39</v>
      </c>
      <c r="D1013" s="3">
        <v>20000</v>
      </c>
      <c r="E1013">
        <v>2</v>
      </c>
      <c r="F1013" t="s">
        <v>29</v>
      </c>
      <c r="G1013" t="s">
        <v>20</v>
      </c>
      <c r="H1013" t="s">
        <v>15</v>
      </c>
      <c r="I1013">
        <v>2</v>
      </c>
      <c r="J1013" t="s">
        <v>23</v>
      </c>
      <c r="K1013" t="s">
        <v>24</v>
      </c>
      <c r="L1013">
        <v>55</v>
      </c>
      <c r="M1013" t="str">
        <f t="shared" si="15"/>
        <v>Old</v>
      </c>
      <c r="N1013" t="s">
        <v>15</v>
      </c>
    </row>
    <row r="1014" spans="1:14" x14ac:dyDescent="0.3">
      <c r="A1014">
        <v>25598</v>
      </c>
      <c r="B1014" t="s">
        <v>36</v>
      </c>
      <c r="C1014" t="s">
        <v>38</v>
      </c>
      <c r="D1014" s="3">
        <v>40000</v>
      </c>
      <c r="E1014">
        <v>0</v>
      </c>
      <c r="F1014" t="s">
        <v>31</v>
      </c>
      <c r="G1014" t="s">
        <v>20</v>
      </c>
      <c r="H1014" t="s">
        <v>15</v>
      </c>
      <c r="I1014">
        <v>0</v>
      </c>
      <c r="J1014" t="s">
        <v>16</v>
      </c>
      <c r="K1014" t="s">
        <v>17</v>
      </c>
      <c r="L1014">
        <v>36</v>
      </c>
      <c r="M1014" t="str">
        <f t="shared" si="15"/>
        <v>Middle Age</v>
      </c>
      <c r="N1014" t="s">
        <v>15</v>
      </c>
    </row>
    <row r="1015" spans="1:14" x14ac:dyDescent="0.3">
      <c r="A1015">
        <v>21564</v>
      </c>
      <c r="B1015" t="s">
        <v>37</v>
      </c>
      <c r="C1015" t="s">
        <v>38</v>
      </c>
      <c r="D1015" s="3">
        <v>80000</v>
      </c>
      <c r="E1015">
        <v>0</v>
      </c>
      <c r="F1015" t="s">
        <v>13</v>
      </c>
      <c r="G1015" t="s">
        <v>21</v>
      </c>
      <c r="H1015" t="s">
        <v>15</v>
      </c>
      <c r="I1015">
        <v>4</v>
      </c>
      <c r="J1015" t="s">
        <v>46</v>
      </c>
      <c r="K1015" t="s">
        <v>24</v>
      </c>
      <c r="L1015">
        <v>35</v>
      </c>
      <c r="M1015" t="str">
        <f t="shared" si="15"/>
        <v>Middle Age</v>
      </c>
      <c r="N1015" t="s">
        <v>18</v>
      </c>
    </row>
    <row r="1016" spans="1:14" x14ac:dyDescent="0.3">
      <c r="A1016">
        <v>19193</v>
      </c>
      <c r="B1016" t="s">
        <v>37</v>
      </c>
      <c r="C1016" t="s">
        <v>39</v>
      </c>
      <c r="D1016" s="3">
        <v>40000</v>
      </c>
      <c r="E1016">
        <v>2</v>
      </c>
      <c r="F1016" t="s">
        <v>19</v>
      </c>
      <c r="G1016" t="s">
        <v>20</v>
      </c>
      <c r="H1016" t="s">
        <v>15</v>
      </c>
      <c r="I1016">
        <v>0</v>
      </c>
      <c r="J1016" t="s">
        <v>26</v>
      </c>
      <c r="K1016" t="s">
        <v>17</v>
      </c>
      <c r="L1016">
        <v>35</v>
      </c>
      <c r="M1016" t="str">
        <f t="shared" si="15"/>
        <v>Middle Age</v>
      </c>
      <c r="N1016" t="s">
        <v>15</v>
      </c>
    </row>
    <row r="1017" spans="1:14" x14ac:dyDescent="0.3">
      <c r="A1017">
        <v>26412</v>
      </c>
      <c r="B1017" t="s">
        <v>36</v>
      </c>
      <c r="C1017" t="s">
        <v>38</v>
      </c>
      <c r="D1017" s="3">
        <v>80000</v>
      </c>
      <c r="E1017">
        <v>5</v>
      </c>
      <c r="F1017" t="s">
        <v>27</v>
      </c>
      <c r="G1017" t="s">
        <v>28</v>
      </c>
      <c r="H1017" t="s">
        <v>18</v>
      </c>
      <c r="I1017">
        <v>3</v>
      </c>
      <c r="J1017" t="s">
        <v>23</v>
      </c>
      <c r="K1017" t="s">
        <v>17</v>
      </c>
      <c r="L1017">
        <v>56</v>
      </c>
      <c r="M1017" t="str">
        <f t="shared" si="15"/>
        <v>Old</v>
      </c>
      <c r="N1017" t="s">
        <v>18</v>
      </c>
    </row>
    <row r="1018" spans="1:14" x14ac:dyDescent="0.3">
      <c r="A1018">
        <v>27184</v>
      </c>
      <c r="B1018" t="s">
        <v>37</v>
      </c>
      <c r="C1018" t="s">
        <v>39</v>
      </c>
      <c r="D1018" s="3">
        <v>40000</v>
      </c>
      <c r="E1018">
        <v>2</v>
      </c>
      <c r="F1018" t="s">
        <v>19</v>
      </c>
      <c r="G1018" t="s">
        <v>20</v>
      </c>
      <c r="H1018" t="s">
        <v>18</v>
      </c>
      <c r="I1018">
        <v>1</v>
      </c>
      <c r="J1018" t="s">
        <v>16</v>
      </c>
      <c r="K1018" t="s">
        <v>17</v>
      </c>
      <c r="L1018">
        <v>34</v>
      </c>
      <c r="M1018" t="str">
        <f t="shared" si="15"/>
        <v>Middle Age</v>
      </c>
      <c r="N1018" t="s">
        <v>18</v>
      </c>
    </row>
    <row r="1019" spans="1:14" x14ac:dyDescent="0.3">
      <c r="A1019">
        <v>12590</v>
      </c>
      <c r="B1019" t="s">
        <v>37</v>
      </c>
      <c r="C1019" t="s">
        <v>39</v>
      </c>
      <c r="D1019" s="3">
        <v>30000</v>
      </c>
      <c r="E1019">
        <v>1</v>
      </c>
      <c r="F1019" t="s">
        <v>13</v>
      </c>
      <c r="G1019" t="s">
        <v>20</v>
      </c>
      <c r="H1019" t="s">
        <v>15</v>
      </c>
      <c r="I1019">
        <v>0</v>
      </c>
      <c r="J1019" t="s">
        <v>16</v>
      </c>
      <c r="K1019" t="s">
        <v>17</v>
      </c>
      <c r="L1019">
        <v>63</v>
      </c>
      <c r="M1019" t="str">
        <f t="shared" si="15"/>
        <v>Old</v>
      </c>
      <c r="N1019" t="s">
        <v>18</v>
      </c>
    </row>
    <row r="1020" spans="1:14" x14ac:dyDescent="0.3">
      <c r="A1020">
        <v>17841</v>
      </c>
      <c r="B1020" t="s">
        <v>37</v>
      </c>
      <c r="C1020" t="s">
        <v>39</v>
      </c>
      <c r="D1020" s="3">
        <v>30000</v>
      </c>
      <c r="E1020">
        <v>0</v>
      </c>
      <c r="F1020" t="s">
        <v>19</v>
      </c>
      <c r="G1020" t="s">
        <v>20</v>
      </c>
      <c r="H1020" t="s">
        <v>18</v>
      </c>
      <c r="I1020">
        <v>1</v>
      </c>
      <c r="J1020" t="s">
        <v>16</v>
      </c>
      <c r="K1020" t="s">
        <v>17</v>
      </c>
      <c r="L1020">
        <v>29</v>
      </c>
      <c r="M1020" t="str">
        <f t="shared" si="15"/>
        <v>Adolescent</v>
      </c>
      <c r="N1020" t="s">
        <v>15</v>
      </c>
    </row>
    <row r="1021" spans="1:14" x14ac:dyDescent="0.3">
      <c r="A1021">
        <v>18283</v>
      </c>
      <c r="B1021" t="s">
        <v>37</v>
      </c>
      <c r="C1021" t="s">
        <v>38</v>
      </c>
      <c r="D1021" s="3">
        <v>100000</v>
      </c>
      <c r="E1021">
        <v>0</v>
      </c>
      <c r="F1021" t="s">
        <v>13</v>
      </c>
      <c r="G1021" t="s">
        <v>21</v>
      </c>
      <c r="H1021" t="s">
        <v>18</v>
      </c>
      <c r="I1021">
        <v>1</v>
      </c>
      <c r="J1021" t="s">
        <v>23</v>
      </c>
      <c r="K1021" t="s">
        <v>24</v>
      </c>
      <c r="L1021">
        <v>40</v>
      </c>
      <c r="M1021" t="str">
        <f t="shared" si="15"/>
        <v>Middle Age</v>
      </c>
      <c r="N1021" t="s">
        <v>18</v>
      </c>
    </row>
    <row r="1022" spans="1:14" x14ac:dyDescent="0.3">
      <c r="A1022">
        <v>18299</v>
      </c>
      <c r="B1022" t="s">
        <v>36</v>
      </c>
      <c r="C1022" t="s">
        <v>39</v>
      </c>
      <c r="D1022" s="3">
        <v>70000</v>
      </c>
      <c r="E1022">
        <v>5</v>
      </c>
      <c r="F1022" t="s">
        <v>19</v>
      </c>
      <c r="G1022" t="s">
        <v>14</v>
      </c>
      <c r="H1022" t="s">
        <v>15</v>
      </c>
      <c r="I1022">
        <v>2</v>
      </c>
      <c r="J1022" t="s">
        <v>23</v>
      </c>
      <c r="K1022" t="s">
        <v>24</v>
      </c>
      <c r="L1022">
        <v>44</v>
      </c>
      <c r="M1022" t="str">
        <f t="shared" si="15"/>
        <v>Middle Age</v>
      </c>
      <c r="N1022" t="s">
        <v>18</v>
      </c>
    </row>
    <row r="1023" spans="1:14" x14ac:dyDescent="0.3">
      <c r="A1023">
        <v>16466</v>
      </c>
      <c r="B1023" t="s">
        <v>37</v>
      </c>
      <c r="C1023" t="s">
        <v>38</v>
      </c>
      <c r="D1023" s="3">
        <v>20000</v>
      </c>
      <c r="E1023">
        <v>0</v>
      </c>
      <c r="F1023" t="s">
        <v>29</v>
      </c>
      <c r="G1023" t="s">
        <v>25</v>
      </c>
      <c r="H1023" t="s">
        <v>18</v>
      </c>
      <c r="I1023">
        <v>2</v>
      </c>
      <c r="J1023" t="s">
        <v>16</v>
      </c>
      <c r="K1023" t="s">
        <v>17</v>
      </c>
      <c r="L1023">
        <v>32</v>
      </c>
      <c r="M1023" t="str">
        <f t="shared" si="15"/>
        <v>Middle Age</v>
      </c>
      <c r="N1023" t="s">
        <v>15</v>
      </c>
    </row>
    <row r="1024" spans="1:14" x14ac:dyDescent="0.3">
      <c r="A1024">
        <v>19273</v>
      </c>
      <c r="B1024" t="s">
        <v>36</v>
      </c>
      <c r="C1024" t="s">
        <v>38</v>
      </c>
      <c r="D1024" s="3">
        <v>20000</v>
      </c>
      <c r="E1024">
        <v>2</v>
      </c>
      <c r="F1024" t="s">
        <v>19</v>
      </c>
      <c r="G1024" t="s">
        <v>25</v>
      </c>
      <c r="H1024" t="s">
        <v>15</v>
      </c>
      <c r="I1024">
        <v>0</v>
      </c>
      <c r="J1024" t="s">
        <v>16</v>
      </c>
      <c r="K1024" t="s">
        <v>17</v>
      </c>
      <c r="L1024">
        <v>63</v>
      </c>
      <c r="M1024" t="str">
        <f t="shared" si="15"/>
        <v>Old</v>
      </c>
      <c r="N1024" t="s">
        <v>18</v>
      </c>
    </row>
    <row r="1025" spans="1:14" x14ac:dyDescent="0.3">
      <c r="A1025">
        <v>22400</v>
      </c>
      <c r="B1025" t="s">
        <v>36</v>
      </c>
      <c r="C1025" t="s">
        <v>39</v>
      </c>
      <c r="D1025" s="3">
        <v>10000</v>
      </c>
      <c r="E1025">
        <v>0</v>
      </c>
      <c r="F1025" t="s">
        <v>19</v>
      </c>
      <c r="G1025" t="s">
        <v>25</v>
      </c>
      <c r="H1025" t="s">
        <v>18</v>
      </c>
      <c r="I1025">
        <v>1</v>
      </c>
      <c r="J1025" t="s">
        <v>16</v>
      </c>
      <c r="K1025" t="s">
        <v>24</v>
      </c>
      <c r="L1025">
        <v>26</v>
      </c>
      <c r="M1025" t="str">
        <f t="shared" si="15"/>
        <v>Adolescent</v>
      </c>
      <c r="N1025" t="s">
        <v>15</v>
      </c>
    </row>
    <row r="1026" spans="1:14" x14ac:dyDescent="0.3">
      <c r="A1026">
        <v>20942</v>
      </c>
      <c r="B1026" t="s">
        <v>37</v>
      </c>
      <c r="C1026" t="s">
        <v>38</v>
      </c>
      <c r="D1026" s="3">
        <v>20000</v>
      </c>
      <c r="E1026">
        <v>0</v>
      </c>
      <c r="F1026" t="s">
        <v>27</v>
      </c>
      <c r="G1026" t="s">
        <v>25</v>
      </c>
      <c r="H1026" t="s">
        <v>18</v>
      </c>
      <c r="I1026">
        <v>1</v>
      </c>
      <c r="J1026" t="s">
        <v>23</v>
      </c>
      <c r="K1026" t="s">
        <v>17</v>
      </c>
      <c r="L1026">
        <v>31</v>
      </c>
      <c r="M1026" t="str">
        <f t="shared" si="15"/>
        <v>Middle Age</v>
      </c>
      <c r="N1026" t="s">
        <v>18</v>
      </c>
    </row>
    <row r="1027" spans="1:14" x14ac:dyDescent="0.3">
      <c r="A1027">
        <v>18484</v>
      </c>
      <c r="B1027" t="s">
        <v>37</v>
      </c>
      <c r="C1027" t="s">
        <v>39</v>
      </c>
      <c r="D1027" s="3">
        <v>80000</v>
      </c>
      <c r="E1027">
        <v>2</v>
      </c>
      <c r="F1027" t="s">
        <v>27</v>
      </c>
      <c r="G1027" t="s">
        <v>14</v>
      </c>
      <c r="H1027" t="s">
        <v>18</v>
      </c>
      <c r="I1027">
        <v>2</v>
      </c>
      <c r="J1027" t="s">
        <v>26</v>
      </c>
      <c r="K1027" t="s">
        <v>24</v>
      </c>
      <c r="L1027">
        <v>50</v>
      </c>
      <c r="M1027" t="str">
        <f t="shared" ref="M1027" si="16">IF(L1027&gt;54,"Old",IF(L1027&gt;=31,"Middle Age",IF(L1027&lt;31,"Adolescent","Invalid")))</f>
        <v>Middle Age</v>
      </c>
      <c r="N1027" t="s">
        <v>15</v>
      </c>
    </row>
  </sheetData>
  <autoFilter ref="A1:N1027" xr:uid="{D7CFCBEC-56A3-4BE7-B5B5-B76514FF890F}"/>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9728E-D456-42B3-A47A-530A0D5C0D45}">
  <dimension ref="A3:D115"/>
  <sheetViews>
    <sheetView topLeftCell="A34" workbookViewId="0">
      <selection activeCell="D60" sqref="D60"/>
    </sheetView>
  </sheetViews>
  <sheetFormatPr defaultRowHeight="14.4" x14ac:dyDescent="0.3"/>
  <cols>
    <col min="1" max="1" width="21.88671875" bestFit="1" customWidth="1"/>
    <col min="2" max="2" width="15.5546875" bestFit="1" customWidth="1"/>
    <col min="3" max="3" width="3.77734375" bestFit="1" customWidth="1"/>
    <col min="4" max="5" width="10.77734375" bestFit="1" customWidth="1"/>
  </cols>
  <sheetData>
    <row r="3" spans="1:4" x14ac:dyDescent="0.3">
      <c r="A3" s="4" t="s">
        <v>43</v>
      </c>
      <c r="B3" s="4" t="s">
        <v>44</v>
      </c>
    </row>
    <row r="4" spans="1:4" x14ac:dyDescent="0.3">
      <c r="A4" s="4" t="s">
        <v>41</v>
      </c>
      <c r="B4" t="s">
        <v>18</v>
      </c>
      <c r="C4" t="s">
        <v>15</v>
      </c>
      <c r="D4" t="s">
        <v>42</v>
      </c>
    </row>
    <row r="5" spans="1:4" x14ac:dyDescent="0.3">
      <c r="A5" s="5" t="s">
        <v>38</v>
      </c>
      <c r="B5" s="3">
        <v>76153.846153846156</v>
      </c>
      <c r="C5" s="3">
        <v>70869.565217391311</v>
      </c>
      <c r="D5" s="3">
        <v>72777.777777777781</v>
      </c>
    </row>
    <row r="6" spans="1:4" x14ac:dyDescent="0.3">
      <c r="A6" s="5" t="s">
        <v>39</v>
      </c>
      <c r="B6" s="3">
        <v>82222.222222222219</v>
      </c>
      <c r="C6" s="3">
        <v>73333.333333333328</v>
      </c>
      <c r="D6" s="3">
        <v>75757.57575757576</v>
      </c>
    </row>
    <row r="7" spans="1:4" x14ac:dyDescent="0.3">
      <c r="A7" s="5" t="s">
        <v>42</v>
      </c>
      <c r="B7" s="3">
        <v>78636.363636363632</v>
      </c>
      <c r="C7" s="3">
        <v>72127.659574468082</v>
      </c>
      <c r="D7" s="3">
        <v>74202.89855072464</v>
      </c>
    </row>
    <row r="21" spans="1:4" x14ac:dyDescent="0.3">
      <c r="A21" s="4" t="s">
        <v>45</v>
      </c>
      <c r="B21" s="4" t="s">
        <v>44</v>
      </c>
    </row>
    <row r="22" spans="1:4" x14ac:dyDescent="0.3">
      <c r="A22" s="4" t="s">
        <v>41</v>
      </c>
      <c r="B22" t="s">
        <v>18</v>
      </c>
      <c r="C22" t="s">
        <v>15</v>
      </c>
      <c r="D22" t="s">
        <v>42</v>
      </c>
    </row>
    <row r="23" spans="1:4" x14ac:dyDescent="0.3">
      <c r="A23" s="5" t="s">
        <v>16</v>
      </c>
      <c r="B23" s="6">
        <v>8</v>
      </c>
      <c r="C23" s="6">
        <v>15</v>
      </c>
      <c r="D23" s="6">
        <v>23</v>
      </c>
    </row>
    <row r="24" spans="1:4" x14ac:dyDescent="0.3">
      <c r="A24" s="5" t="s">
        <v>26</v>
      </c>
      <c r="B24" s="6">
        <v>3</v>
      </c>
      <c r="C24" s="6">
        <v>4</v>
      </c>
      <c r="D24" s="6">
        <v>7</v>
      </c>
    </row>
    <row r="25" spans="1:4" x14ac:dyDescent="0.3">
      <c r="A25" s="5" t="s">
        <v>22</v>
      </c>
      <c r="B25" s="6">
        <v>5</v>
      </c>
      <c r="C25" s="6">
        <v>22</v>
      </c>
      <c r="D25" s="6">
        <v>27</v>
      </c>
    </row>
    <row r="26" spans="1:4" x14ac:dyDescent="0.3">
      <c r="A26" s="5" t="s">
        <v>23</v>
      </c>
      <c r="B26" s="6">
        <v>1</v>
      </c>
      <c r="C26" s="6">
        <v>2</v>
      </c>
      <c r="D26" s="6">
        <v>3</v>
      </c>
    </row>
    <row r="27" spans="1:4" x14ac:dyDescent="0.3">
      <c r="A27" s="5" t="s">
        <v>46</v>
      </c>
      <c r="B27" s="6">
        <v>5</v>
      </c>
      <c r="C27" s="6">
        <v>4</v>
      </c>
      <c r="D27" s="6">
        <v>9</v>
      </c>
    </row>
    <row r="28" spans="1:4" x14ac:dyDescent="0.3">
      <c r="A28" s="5" t="s">
        <v>42</v>
      </c>
      <c r="B28" s="6">
        <v>22</v>
      </c>
      <c r="C28" s="6">
        <v>47</v>
      </c>
      <c r="D28" s="6">
        <v>69</v>
      </c>
    </row>
    <row r="41" spans="1:4" x14ac:dyDescent="0.3">
      <c r="A41" s="4" t="s">
        <v>45</v>
      </c>
      <c r="B41" s="4" t="s">
        <v>44</v>
      </c>
    </row>
    <row r="42" spans="1:4" x14ac:dyDescent="0.3">
      <c r="A42" s="4" t="s">
        <v>41</v>
      </c>
      <c r="B42" t="s">
        <v>18</v>
      </c>
      <c r="C42" t="s">
        <v>15</v>
      </c>
      <c r="D42" t="s">
        <v>42</v>
      </c>
    </row>
    <row r="43" spans="1:4" x14ac:dyDescent="0.3">
      <c r="A43" s="5" t="s">
        <v>47</v>
      </c>
      <c r="B43" s="6">
        <v>1</v>
      </c>
      <c r="C43" s="6"/>
      <c r="D43" s="6">
        <v>1</v>
      </c>
    </row>
    <row r="44" spans="1:4" x14ac:dyDescent="0.3">
      <c r="A44" s="5" t="s">
        <v>48</v>
      </c>
      <c r="B44" s="6">
        <v>15</v>
      </c>
      <c r="C44" s="6">
        <v>39</v>
      </c>
      <c r="D44" s="6">
        <v>54</v>
      </c>
    </row>
    <row r="45" spans="1:4" x14ac:dyDescent="0.3">
      <c r="A45" s="5" t="s">
        <v>49</v>
      </c>
      <c r="B45" s="6">
        <v>6</v>
      </c>
      <c r="C45" s="6">
        <v>8</v>
      </c>
      <c r="D45" s="6">
        <v>14</v>
      </c>
    </row>
    <row r="46" spans="1:4" x14ac:dyDescent="0.3">
      <c r="A46" s="5" t="s">
        <v>42</v>
      </c>
      <c r="B46" s="6">
        <v>22</v>
      </c>
      <c r="C46" s="6">
        <v>47</v>
      </c>
      <c r="D46" s="6">
        <v>69</v>
      </c>
    </row>
    <row r="60" spans="1:4" x14ac:dyDescent="0.3">
      <c r="A60" s="4" t="s">
        <v>45</v>
      </c>
      <c r="B60" s="4" t="s">
        <v>44</v>
      </c>
    </row>
    <row r="61" spans="1:4" x14ac:dyDescent="0.3">
      <c r="A61" s="4" t="s">
        <v>41</v>
      </c>
      <c r="B61" t="s">
        <v>18</v>
      </c>
      <c r="C61" t="s">
        <v>15</v>
      </c>
      <c r="D61" t="s">
        <v>42</v>
      </c>
    </row>
    <row r="62" spans="1:4" x14ac:dyDescent="0.3">
      <c r="A62" s="5">
        <v>25</v>
      </c>
      <c r="B62" s="6">
        <v>2</v>
      </c>
      <c r="C62" s="6">
        <v>4</v>
      </c>
      <c r="D62" s="6">
        <v>6</v>
      </c>
    </row>
    <row r="63" spans="1:4" x14ac:dyDescent="0.3">
      <c r="A63" s="5">
        <v>26</v>
      </c>
      <c r="B63" s="6">
        <v>8</v>
      </c>
      <c r="C63" s="6">
        <v>9</v>
      </c>
      <c r="D63" s="6">
        <v>17</v>
      </c>
    </row>
    <row r="64" spans="1:4" x14ac:dyDescent="0.3">
      <c r="A64" s="5">
        <v>27</v>
      </c>
      <c r="B64" s="6">
        <v>15</v>
      </c>
      <c r="C64" s="6">
        <v>8</v>
      </c>
      <c r="D64" s="6">
        <v>23</v>
      </c>
    </row>
    <row r="65" spans="1:4" x14ac:dyDescent="0.3">
      <c r="A65" s="5">
        <v>28</v>
      </c>
      <c r="B65" s="6">
        <v>12</v>
      </c>
      <c r="C65" s="6">
        <v>10</v>
      </c>
      <c r="D65" s="6">
        <v>22</v>
      </c>
    </row>
    <row r="66" spans="1:4" x14ac:dyDescent="0.3">
      <c r="A66" s="5">
        <v>29</v>
      </c>
      <c r="B66" s="6">
        <v>11</v>
      </c>
      <c r="C66" s="6">
        <v>6</v>
      </c>
      <c r="D66" s="6">
        <v>17</v>
      </c>
    </row>
    <row r="67" spans="1:4" x14ac:dyDescent="0.3">
      <c r="A67" s="5">
        <v>30</v>
      </c>
      <c r="B67" s="6">
        <v>23</v>
      </c>
      <c r="C67" s="6">
        <v>4</v>
      </c>
      <c r="D67" s="6">
        <v>27</v>
      </c>
    </row>
    <row r="68" spans="1:4" x14ac:dyDescent="0.3">
      <c r="A68" s="5">
        <v>31</v>
      </c>
      <c r="B68" s="6">
        <v>18</v>
      </c>
      <c r="C68" s="6">
        <v>8</v>
      </c>
      <c r="D68" s="6">
        <v>26</v>
      </c>
    </row>
    <row r="69" spans="1:4" x14ac:dyDescent="0.3">
      <c r="A69" s="5">
        <v>32</v>
      </c>
      <c r="B69" s="6">
        <v>19</v>
      </c>
      <c r="C69" s="6">
        <v>15</v>
      </c>
      <c r="D69" s="6">
        <v>34</v>
      </c>
    </row>
    <row r="70" spans="1:4" x14ac:dyDescent="0.3">
      <c r="A70" s="5">
        <v>33</v>
      </c>
      <c r="B70" s="6">
        <v>8</v>
      </c>
      <c r="C70" s="6">
        <v>13</v>
      </c>
      <c r="D70" s="6">
        <v>21</v>
      </c>
    </row>
    <row r="71" spans="1:4" x14ac:dyDescent="0.3">
      <c r="A71" s="5">
        <v>34</v>
      </c>
      <c r="B71" s="6">
        <v>13</v>
      </c>
      <c r="C71" s="6">
        <v>19</v>
      </c>
      <c r="D71" s="6">
        <v>32</v>
      </c>
    </row>
    <row r="72" spans="1:4" x14ac:dyDescent="0.3">
      <c r="A72" s="5">
        <v>35</v>
      </c>
      <c r="B72" s="6">
        <v>15</v>
      </c>
      <c r="C72" s="6">
        <v>25</v>
      </c>
      <c r="D72" s="6">
        <v>40</v>
      </c>
    </row>
    <row r="73" spans="1:4" x14ac:dyDescent="0.3">
      <c r="A73" s="5">
        <v>36</v>
      </c>
      <c r="B73" s="6">
        <v>8</v>
      </c>
      <c r="C73" s="6">
        <v>31</v>
      </c>
      <c r="D73" s="6">
        <v>39</v>
      </c>
    </row>
    <row r="74" spans="1:4" x14ac:dyDescent="0.3">
      <c r="A74" s="5">
        <v>37</v>
      </c>
      <c r="B74" s="6">
        <v>4</v>
      </c>
      <c r="C74" s="6">
        <v>28</v>
      </c>
      <c r="D74" s="6">
        <v>32</v>
      </c>
    </row>
    <row r="75" spans="1:4" x14ac:dyDescent="0.3">
      <c r="A75" s="5">
        <v>38</v>
      </c>
      <c r="B75" s="6">
        <v>8</v>
      </c>
      <c r="C75" s="6">
        <v>30</v>
      </c>
      <c r="D75" s="6">
        <v>38</v>
      </c>
    </row>
    <row r="76" spans="1:4" x14ac:dyDescent="0.3">
      <c r="A76" s="5">
        <v>39</v>
      </c>
      <c r="B76" s="6">
        <v>10</v>
      </c>
      <c r="C76" s="6">
        <v>12</v>
      </c>
      <c r="D76" s="6">
        <v>22</v>
      </c>
    </row>
    <row r="77" spans="1:4" x14ac:dyDescent="0.3">
      <c r="A77" s="5">
        <v>40</v>
      </c>
      <c r="B77" s="6">
        <v>25</v>
      </c>
      <c r="C77" s="6">
        <v>19</v>
      </c>
      <c r="D77" s="6">
        <v>44</v>
      </c>
    </row>
    <row r="78" spans="1:4" x14ac:dyDescent="0.3">
      <c r="A78" s="5">
        <v>41</v>
      </c>
      <c r="B78" s="6">
        <v>13</v>
      </c>
      <c r="C78" s="6">
        <v>15</v>
      </c>
      <c r="D78" s="6">
        <v>28</v>
      </c>
    </row>
    <row r="79" spans="1:4" x14ac:dyDescent="0.3">
      <c r="A79" s="5">
        <v>42</v>
      </c>
      <c r="B79" s="6">
        <v>22</v>
      </c>
      <c r="C79" s="6">
        <v>12</v>
      </c>
      <c r="D79" s="6">
        <v>34</v>
      </c>
    </row>
    <row r="80" spans="1:4" x14ac:dyDescent="0.3">
      <c r="A80" s="5">
        <v>43</v>
      </c>
      <c r="B80" s="6">
        <v>17</v>
      </c>
      <c r="C80" s="6">
        <v>19</v>
      </c>
      <c r="D80" s="6">
        <v>36</v>
      </c>
    </row>
    <row r="81" spans="1:4" x14ac:dyDescent="0.3">
      <c r="A81" s="5">
        <v>44</v>
      </c>
      <c r="B81" s="6">
        <v>16</v>
      </c>
      <c r="C81" s="6">
        <v>12</v>
      </c>
      <c r="D81" s="6">
        <v>28</v>
      </c>
    </row>
    <row r="82" spans="1:4" x14ac:dyDescent="0.3">
      <c r="A82" s="5">
        <v>45</v>
      </c>
      <c r="B82" s="6">
        <v>18</v>
      </c>
      <c r="C82" s="6">
        <v>14</v>
      </c>
      <c r="D82" s="6">
        <v>32</v>
      </c>
    </row>
    <row r="83" spans="1:4" x14ac:dyDescent="0.3">
      <c r="A83" s="5">
        <v>46</v>
      </c>
      <c r="B83" s="6">
        <v>12</v>
      </c>
      <c r="C83" s="6">
        <v>15</v>
      </c>
      <c r="D83" s="6">
        <v>27</v>
      </c>
    </row>
    <row r="84" spans="1:4" x14ac:dyDescent="0.3">
      <c r="A84" s="5">
        <v>47</v>
      </c>
      <c r="B84" s="6">
        <v>20</v>
      </c>
      <c r="C84" s="6">
        <v>20</v>
      </c>
      <c r="D84" s="6">
        <v>40</v>
      </c>
    </row>
    <row r="85" spans="1:4" x14ac:dyDescent="0.3">
      <c r="A85" s="5">
        <v>48</v>
      </c>
      <c r="B85" s="6">
        <v>16</v>
      </c>
      <c r="C85" s="6">
        <v>13</v>
      </c>
      <c r="D85" s="6">
        <v>29</v>
      </c>
    </row>
    <row r="86" spans="1:4" x14ac:dyDescent="0.3">
      <c r="A86" s="5">
        <v>49</v>
      </c>
      <c r="B86" s="6">
        <v>15</v>
      </c>
      <c r="C86" s="6">
        <v>8</v>
      </c>
      <c r="D86" s="6">
        <v>23</v>
      </c>
    </row>
    <row r="87" spans="1:4" x14ac:dyDescent="0.3">
      <c r="A87" s="5">
        <v>50</v>
      </c>
      <c r="B87" s="6">
        <v>13</v>
      </c>
      <c r="C87" s="6">
        <v>13</v>
      </c>
      <c r="D87" s="6">
        <v>26</v>
      </c>
    </row>
    <row r="88" spans="1:4" x14ac:dyDescent="0.3">
      <c r="A88" s="5">
        <v>51</v>
      </c>
      <c r="B88" s="6">
        <v>10</v>
      </c>
      <c r="C88" s="6">
        <v>12</v>
      </c>
      <c r="D88" s="6">
        <v>22</v>
      </c>
    </row>
    <row r="89" spans="1:4" x14ac:dyDescent="0.3">
      <c r="A89" s="5">
        <v>52</v>
      </c>
      <c r="B89" s="6">
        <v>10</v>
      </c>
      <c r="C89" s="6">
        <v>15</v>
      </c>
      <c r="D89" s="6">
        <v>25</v>
      </c>
    </row>
    <row r="90" spans="1:4" x14ac:dyDescent="0.3">
      <c r="A90" s="5">
        <v>53</v>
      </c>
      <c r="B90" s="6">
        <v>11</v>
      </c>
      <c r="C90" s="6">
        <v>13</v>
      </c>
      <c r="D90" s="6">
        <v>24</v>
      </c>
    </row>
    <row r="91" spans="1:4" x14ac:dyDescent="0.3">
      <c r="A91" s="5">
        <v>54</v>
      </c>
      <c r="B91" s="6">
        <v>5</v>
      </c>
      <c r="C91" s="6">
        <v>12</v>
      </c>
      <c r="D91" s="6">
        <v>17</v>
      </c>
    </row>
    <row r="92" spans="1:4" x14ac:dyDescent="0.3">
      <c r="A92" s="5">
        <v>55</v>
      </c>
      <c r="B92" s="6">
        <v>14</v>
      </c>
      <c r="C92" s="6">
        <v>6</v>
      </c>
      <c r="D92" s="6">
        <v>20</v>
      </c>
    </row>
    <row r="93" spans="1:4" x14ac:dyDescent="0.3">
      <c r="A93" s="5">
        <v>56</v>
      </c>
      <c r="B93" s="6">
        <v>14</v>
      </c>
      <c r="C93" s="6">
        <v>3</v>
      </c>
      <c r="D93" s="6">
        <v>17</v>
      </c>
    </row>
    <row r="94" spans="1:4" x14ac:dyDescent="0.3">
      <c r="A94" s="5">
        <v>57</v>
      </c>
      <c r="B94" s="6">
        <v>4</v>
      </c>
      <c r="C94" s="6">
        <v>4</v>
      </c>
      <c r="D94" s="6">
        <v>8</v>
      </c>
    </row>
    <row r="95" spans="1:4" x14ac:dyDescent="0.3">
      <c r="A95" s="5">
        <v>58</v>
      </c>
      <c r="B95" s="6">
        <v>8</v>
      </c>
      <c r="C95" s="6">
        <v>4</v>
      </c>
      <c r="D95" s="6">
        <v>12</v>
      </c>
    </row>
    <row r="96" spans="1:4" x14ac:dyDescent="0.3">
      <c r="A96" s="5">
        <v>59</v>
      </c>
      <c r="B96" s="6">
        <v>14</v>
      </c>
      <c r="C96" s="6">
        <v>7</v>
      </c>
      <c r="D96" s="6">
        <v>21</v>
      </c>
    </row>
    <row r="97" spans="1:4" x14ac:dyDescent="0.3">
      <c r="A97" s="5">
        <v>60</v>
      </c>
      <c r="B97" s="6">
        <v>8</v>
      </c>
      <c r="C97" s="6">
        <v>7</v>
      </c>
      <c r="D97" s="6">
        <v>15</v>
      </c>
    </row>
    <row r="98" spans="1:4" x14ac:dyDescent="0.3">
      <c r="A98" s="5">
        <v>61</v>
      </c>
      <c r="B98" s="6">
        <v>5</v>
      </c>
      <c r="C98" s="6">
        <v>4</v>
      </c>
      <c r="D98" s="6">
        <v>9</v>
      </c>
    </row>
    <row r="99" spans="1:4" x14ac:dyDescent="0.3">
      <c r="A99" s="5">
        <v>62</v>
      </c>
      <c r="B99" s="6">
        <v>9</v>
      </c>
      <c r="C99" s="6">
        <v>4</v>
      </c>
      <c r="D99" s="6">
        <v>13</v>
      </c>
    </row>
    <row r="100" spans="1:4" x14ac:dyDescent="0.3">
      <c r="A100" s="5">
        <v>63</v>
      </c>
      <c r="B100" s="6">
        <v>9</v>
      </c>
      <c r="C100" s="6">
        <v>2</v>
      </c>
      <c r="D100" s="6">
        <v>11</v>
      </c>
    </row>
    <row r="101" spans="1:4" x14ac:dyDescent="0.3">
      <c r="A101" s="5">
        <v>64</v>
      </c>
      <c r="B101" s="6">
        <v>7</v>
      </c>
      <c r="C101" s="6">
        <v>3</v>
      </c>
      <c r="D101" s="6">
        <v>10</v>
      </c>
    </row>
    <row r="102" spans="1:4" x14ac:dyDescent="0.3">
      <c r="A102" s="5">
        <v>65</v>
      </c>
      <c r="B102" s="6">
        <v>6</v>
      </c>
      <c r="C102" s="6">
        <v>3</v>
      </c>
      <c r="D102" s="6">
        <v>9</v>
      </c>
    </row>
    <row r="103" spans="1:4" x14ac:dyDescent="0.3">
      <c r="A103" s="5">
        <v>66</v>
      </c>
      <c r="B103" s="6">
        <v>8</v>
      </c>
      <c r="C103" s="6">
        <v>6</v>
      </c>
      <c r="D103" s="6">
        <v>14</v>
      </c>
    </row>
    <row r="104" spans="1:4" x14ac:dyDescent="0.3">
      <c r="A104" s="5">
        <v>67</v>
      </c>
      <c r="B104" s="6">
        <v>8</v>
      </c>
      <c r="C104" s="6">
        <v>2</v>
      </c>
      <c r="D104" s="6">
        <v>10</v>
      </c>
    </row>
    <row r="105" spans="1:4" x14ac:dyDescent="0.3">
      <c r="A105" s="5">
        <v>68</v>
      </c>
      <c r="B105" s="6">
        <v>3</v>
      </c>
      <c r="C105" s="6"/>
      <c r="D105" s="6">
        <v>3</v>
      </c>
    </row>
    <row r="106" spans="1:4" x14ac:dyDescent="0.3">
      <c r="A106" s="5">
        <v>69</v>
      </c>
      <c r="B106" s="6">
        <v>8</v>
      </c>
      <c r="C106" s="6"/>
      <c r="D106" s="6">
        <v>8</v>
      </c>
    </row>
    <row r="107" spans="1:4" x14ac:dyDescent="0.3">
      <c r="A107" s="5">
        <v>70</v>
      </c>
      <c r="B107" s="6">
        <v>3</v>
      </c>
      <c r="C107" s="6">
        <v>1</v>
      </c>
      <c r="D107" s="6">
        <v>4</v>
      </c>
    </row>
    <row r="108" spans="1:4" x14ac:dyDescent="0.3">
      <c r="A108" s="5">
        <v>71</v>
      </c>
      <c r="B108" s="6">
        <v>1</v>
      </c>
      <c r="C108" s="6"/>
      <c r="D108" s="6">
        <v>1</v>
      </c>
    </row>
    <row r="109" spans="1:4" x14ac:dyDescent="0.3">
      <c r="A109" s="5">
        <v>72</v>
      </c>
      <c r="B109" s="6"/>
      <c r="C109" s="6">
        <v>1</v>
      </c>
      <c r="D109" s="6">
        <v>1</v>
      </c>
    </row>
    <row r="110" spans="1:4" x14ac:dyDescent="0.3">
      <c r="A110" s="5">
        <v>73</v>
      </c>
      <c r="B110" s="6">
        <v>2</v>
      </c>
      <c r="C110" s="6">
        <v>2</v>
      </c>
      <c r="D110" s="6">
        <v>4</v>
      </c>
    </row>
    <row r="111" spans="1:4" x14ac:dyDescent="0.3">
      <c r="A111" s="5">
        <v>74</v>
      </c>
      <c r="B111" s="6"/>
      <c r="C111" s="6">
        <v>1</v>
      </c>
      <c r="D111" s="6">
        <v>1</v>
      </c>
    </row>
    <row r="112" spans="1:4" x14ac:dyDescent="0.3">
      <c r="A112" s="5">
        <v>78</v>
      </c>
      <c r="B112" s="6">
        <v>1</v>
      </c>
      <c r="C112" s="6">
        <v>1</v>
      </c>
      <c r="D112" s="6">
        <v>2</v>
      </c>
    </row>
    <row r="113" spans="1:4" x14ac:dyDescent="0.3">
      <c r="A113" s="5">
        <v>80</v>
      </c>
      <c r="B113" s="6">
        <v>1</v>
      </c>
      <c r="C113" s="6"/>
      <c r="D113" s="6">
        <v>1</v>
      </c>
    </row>
    <row r="114" spans="1:4" x14ac:dyDescent="0.3">
      <c r="A114" s="5">
        <v>89</v>
      </c>
      <c r="B114" s="6">
        <v>1</v>
      </c>
      <c r="C114" s="6"/>
      <c r="D114" s="6">
        <v>1</v>
      </c>
    </row>
    <row r="115" spans="1:4" x14ac:dyDescent="0.3">
      <c r="A115" s="5" t="s">
        <v>42</v>
      </c>
      <c r="B115" s="6">
        <v>531</v>
      </c>
      <c r="C115" s="6">
        <v>495</v>
      </c>
      <c r="D115" s="6">
        <v>1026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6995F-EBF7-4D96-8291-A6525DB5BBFC}">
  <dimension ref="A1:O5"/>
  <sheetViews>
    <sheetView showGridLines="0" tabSelected="1" zoomScale="80" zoomScaleNormal="80" workbookViewId="0">
      <selection activeCell="R8" sqref="R8"/>
    </sheetView>
  </sheetViews>
  <sheetFormatPr defaultRowHeight="14.4" x14ac:dyDescent="0.3"/>
  <sheetData>
    <row r="1" spans="1:15" ht="14.4" customHeight="1" x14ac:dyDescent="0.3">
      <c r="A1" s="7" t="s">
        <v>50</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sheetData>
  <mergeCells count="1">
    <mergeCell ref="A1:O5"/>
  </mergeCells>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 </vt:lpstr>
      <vt:lpstr>PIvot Table</vt:lpstr>
      <vt:lpstr>DAShborad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hemil prajapati</cp:lastModifiedBy>
  <dcterms:created xsi:type="dcterms:W3CDTF">2022-03-18T02:50:57Z</dcterms:created>
  <dcterms:modified xsi:type="dcterms:W3CDTF">2026-08-24T19:57:21Z</dcterms:modified>
</cp:coreProperties>
</file>